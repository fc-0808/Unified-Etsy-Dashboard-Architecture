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ing Strateg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&quot;CA$&quot;#,##0.00"/>
    <numFmt numFmtId="166" formatCode="&quot;HK$&quot;#,##0.00"/>
    <numFmt numFmtId="167" formatCode="&quot;¥&quot;#,##0.00"/>
  </numFmts>
  <fonts count="6">
    <font>
      <name val="Calibri"/>
      <family val="2"/>
      <color theme="1"/>
      <sz val="11"/>
      <scheme val="minor"/>
    </font>
    <font>
      <b val="1"/>
      <color rgb="00333333"/>
      <sz val="14"/>
    </font>
    <font>
      <b val="1"/>
    </font>
    <font>
      <i val="1"/>
    </font>
    <font>
      <b val="1"/>
      <color rgb="00008000"/>
    </font>
    <font>
      <b val="1"/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164" fontId="0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9" fontId="5" fillId="0" borderId="0" pivotButton="0" quotePrefix="0" xfId="0"/>
    <xf numFmtId="165" fontId="0" fillId="0" borderId="0" pivotButton="0" quotePrefix="0" xfId="0"/>
    <xf numFmtId="165" fontId="3" fillId="0" borderId="0" pivotButton="0" quotePrefix="0" xfId="0"/>
    <xf numFmtId="165" fontId="4" fillId="0" borderId="0" pivotButton="0" quotePrefix="0" xfId="0"/>
    <xf numFmtId="166" fontId="0" fillId="0" borderId="0" pivotButton="0" quotePrefix="0" xfId="0"/>
    <xf numFmtId="166" fontId="3" fillId="0" borderId="0" pivotButton="0" quotePrefix="0" xfId="0"/>
    <xf numFmtId="166" fontId="4" fillId="0" borderId="0" pivotButton="0" quotePrefix="0" xfId="0"/>
    <xf numFmtId="167" fontId="0" fillId="0" borderId="0" pivotButton="0" quotePrefix="0" xfId="0"/>
    <xf numFmtId="167" fontId="3" fillId="0" borderId="0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1" t="inlineStr">
        <is>
          <t>USD PRICING TABLE</t>
        </is>
      </c>
    </row>
    <row r="2">
      <c r="A2" s="2" t="inlineStr">
        <is>
          <t>Product Variation</t>
        </is>
      </c>
      <c r="B2" s="2" t="inlineStr">
        <is>
          <t>Etsy Anchor Price</t>
        </is>
      </c>
      <c r="C2" s="2" t="inlineStr">
        <is>
          <t>True Customer Price</t>
        </is>
      </c>
      <c r="D2" s="2" t="inlineStr">
        <is>
          <t>Cust. Ship (1st)</t>
        </is>
      </c>
      <c r="E2" s="2" t="inlineStr">
        <is>
          <t>Cust. Ship (Add-on)</t>
        </is>
      </c>
      <c r="F2" s="2" t="inlineStr">
        <is>
          <t>Product Cost</t>
        </is>
      </c>
      <c r="G2" s="2" t="inlineStr">
        <is>
          <t>Shipping Cost</t>
        </is>
      </c>
      <c r="H2" s="2" t="inlineStr">
        <is>
          <t>Total Cost</t>
        </is>
      </c>
      <c r="I2" s="2" t="inlineStr">
        <is>
          <t>Net Profit (1 Item)</t>
        </is>
      </c>
      <c r="J2" s="2" t="inlineStr">
        <is>
          <t>Profit Margin</t>
        </is>
      </c>
    </row>
    <row r="3">
      <c r="A3" s="3" t="inlineStr">
        <is>
          <t>Case + Grip + Charm</t>
        </is>
      </c>
      <c r="B3" s="4" t="n">
        <v>81.23</v>
      </c>
      <c r="C3" s="4" t="n">
        <v>32.49</v>
      </c>
      <c r="D3" s="4" t="n">
        <v>5.87</v>
      </c>
      <c r="E3" s="4" t="n">
        <v>3.7</v>
      </c>
      <c r="F3" s="4" t="n">
        <v>3.86</v>
      </c>
      <c r="G3" s="4" t="n">
        <v>5.61</v>
      </c>
      <c r="H3" s="5">
        <f>F3+G3</f>
        <v/>
      </c>
      <c r="I3" s="6">
        <f>(C3+D3)-H3</f>
        <v/>
      </c>
      <c r="J3" s="7">
        <f>I3/(C3+D3)</f>
        <v/>
      </c>
    </row>
    <row r="4">
      <c r="A4" s="3" t="inlineStr">
        <is>
          <t>Case + Grip</t>
        </is>
      </c>
      <c r="B4" s="4" t="n">
        <v>68.73</v>
      </c>
      <c r="C4" s="4" t="n">
        <v>27.49</v>
      </c>
      <c r="D4" s="4" t="n">
        <v>5.87</v>
      </c>
      <c r="E4" s="4" t="n">
        <v>3.7</v>
      </c>
      <c r="F4" s="4" t="n">
        <v>3.37</v>
      </c>
      <c r="G4" s="4" t="n">
        <v>4.91</v>
      </c>
      <c r="H4" s="5">
        <f>F4+G4</f>
        <v/>
      </c>
      <c r="I4" s="6">
        <f>(C4+D4)-H4</f>
        <v/>
      </c>
      <c r="J4" s="7">
        <f>I4/(C4+D4)</f>
        <v/>
      </c>
    </row>
    <row r="5">
      <c r="A5" s="3" t="inlineStr">
        <is>
          <t>Case + Charm</t>
        </is>
      </c>
      <c r="B5" s="4" t="n">
        <v>68.73</v>
      </c>
      <c r="C5" s="4" t="n">
        <v>27.49</v>
      </c>
      <c r="D5" s="4" t="n">
        <v>5.87</v>
      </c>
      <c r="E5" s="4" t="n">
        <v>3.7</v>
      </c>
      <c r="F5" s="4" t="n">
        <v>2.17</v>
      </c>
      <c r="G5" s="4" t="n">
        <v>4.91</v>
      </c>
      <c r="H5" s="5">
        <f>F5+G5</f>
        <v/>
      </c>
      <c r="I5" s="6">
        <f>(C5+D5)-H5</f>
        <v/>
      </c>
      <c r="J5" s="7">
        <f>I5/(C5+D5)</f>
        <v/>
      </c>
    </row>
    <row r="6">
      <c r="A6" s="3" t="inlineStr">
        <is>
          <t>Case Only</t>
        </is>
      </c>
      <c r="B6" s="4" t="n">
        <v>46.23</v>
      </c>
      <c r="C6" s="4" t="n">
        <v>18.49</v>
      </c>
      <c r="D6" s="4" t="n">
        <v>5.87</v>
      </c>
      <c r="E6" s="4" t="n">
        <v>3.7</v>
      </c>
      <c r="F6" s="4" t="n">
        <v>1.68</v>
      </c>
      <c r="G6" s="4" t="n">
        <v>4.91</v>
      </c>
      <c r="H6" s="5">
        <f>F6+G6</f>
        <v/>
      </c>
      <c r="I6" s="6">
        <f>(C6+D6)-H6</f>
        <v/>
      </c>
      <c r="J6" s="7">
        <f>I6/(C6+D6)</f>
        <v/>
      </c>
    </row>
    <row r="7">
      <c r="A7" s="3" t="inlineStr">
        <is>
          <t>Grip Only</t>
        </is>
      </c>
      <c r="B7" s="4" t="n">
        <v>46.23</v>
      </c>
      <c r="C7" s="4" t="n">
        <v>18.49</v>
      </c>
      <c r="D7" s="4" t="n">
        <v>5.87</v>
      </c>
      <c r="E7" s="4" t="n">
        <v>3.7</v>
      </c>
      <c r="F7" s="4" t="n">
        <v>1.68</v>
      </c>
      <c r="G7" s="4" t="n">
        <v>4.91</v>
      </c>
      <c r="H7" s="5">
        <f>F7+G7</f>
        <v/>
      </c>
      <c r="I7" s="6">
        <f>(C7+D7)-H7</f>
        <v/>
      </c>
      <c r="J7" s="7">
        <f>I7/(C7+D7)</f>
        <v/>
      </c>
    </row>
    <row r="8">
      <c r="A8" s="3" t="inlineStr">
        <is>
          <t>Charm Only</t>
        </is>
      </c>
      <c r="B8" s="4" t="n">
        <v>23.73</v>
      </c>
      <c r="C8" s="4" t="n">
        <v>9.49</v>
      </c>
      <c r="D8" s="4" t="n">
        <v>5.87</v>
      </c>
      <c r="E8" s="4" t="n">
        <v>3.7</v>
      </c>
      <c r="F8" s="4" t="n">
        <v>0.49</v>
      </c>
      <c r="G8" s="4" t="n">
        <v>4.91</v>
      </c>
      <c r="H8" s="5">
        <f>F8+G8</f>
        <v/>
      </c>
      <c r="I8" s="6">
        <f>(C8+D8)-H8</f>
        <v/>
      </c>
      <c r="J8" s="7">
        <f>I8/(C8+D8)</f>
        <v/>
      </c>
    </row>
    <row r="11">
      <c r="A11" s="1" t="inlineStr">
        <is>
          <t>CAD PRICING TABLE</t>
        </is>
      </c>
    </row>
    <row r="12">
      <c r="A12" s="2" t="inlineStr">
        <is>
          <t>Product Variation</t>
        </is>
      </c>
      <c r="B12" s="2" t="inlineStr">
        <is>
          <t>Etsy Anchor Price</t>
        </is>
      </c>
      <c r="C12" s="2" t="inlineStr">
        <is>
          <t>True Customer Price</t>
        </is>
      </c>
      <c r="D12" s="2" t="inlineStr">
        <is>
          <t>Cust. Ship (1st)</t>
        </is>
      </c>
      <c r="E12" s="2" t="inlineStr">
        <is>
          <t>Cust. Ship (Add-on)</t>
        </is>
      </c>
      <c r="F12" s="2" t="inlineStr">
        <is>
          <t>Product Cost</t>
        </is>
      </c>
      <c r="G12" s="2" t="inlineStr">
        <is>
          <t>Shipping Cost</t>
        </is>
      </c>
      <c r="H12" s="2" t="inlineStr">
        <is>
          <t>Total Cost</t>
        </is>
      </c>
      <c r="I12" s="2" t="inlineStr">
        <is>
          <t>Net Profit (1 Item)</t>
        </is>
      </c>
      <c r="J12" s="2" t="inlineStr">
        <is>
          <t>Profit Margin</t>
        </is>
      </c>
    </row>
    <row r="13">
      <c r="A13" s="3" t="inlineStr">
        <is>
          <t>Case + Grip + Charm</t>
        </is>
      </c>
      <c r="B13" s="8" t="n">
        <v>111.23</v>
      </c>
      <c r="C13" s="8" t="n">
        <v>44.49</v>
      </c>
      <c r="D13" s="8" t="n">
        <v>7.99</v>
      </c>
      <c r="E13" s="8" t="n">
        <v>4.99</v>
      </c>
      <c r="F13" s="8" t="n">
        <v>5.28</v>
      </c>
      <c r="G13" s="8" t="n">
        <v>7.68</v>
      </c>
      <c r="H13" s="9">
        <f>F13+G13</f>
        <v/>
      </c>
      <c r="I13" s="10">
        <f>(C13+D13)-H13</f>
        <v/>
      </c>
      <c r="J13" s="7">
        <f>I13/(C13+D13)</f>
        <v/>
      </c>
    </row>
    <row r="14">
      <c r="A14" s="3" t="inlineStr">
        <is>
          <t>Case + Grip</t>
        </is>
      </c>
      <c r="B14" s="8" t="n">
        <v>93.73</v>
      </c>
      <c r="C14" s="8" t="n">
        <v>37.49</v>
      </c>
      <c r="D14" s="8" t="n">
        <v>7.99</v>
      </c>
      <c r="E14" s="8" t="n">
        <v>4.99</v>
      </c>
      <c r="F14" s="8" t="n">
        <v>4.61</v>
      </c>
      <c r="G14" s="8" t="n">
        <v>6.72</v>
      </c>
      <c r="H14" s="9">
        <f>F14+G14</f>
        <v/>
      </c>
      <c r="I14" s="10">
        <f>(C14+D14)-H14</f>
        <v/>
      </c>
      <c r="J14" s="7">
        <f>I14/(C14+D14)</f>
        <v/>
      </c>
    </row>
    <row r="15">
      <c r="A15" s="3" t="inlineStr">
        <is>
          <t>Case + Charm</t>
        </is>
      </c>
      <c r="B15" s="8" t="n">
        <v>93.73</v>
      </c>
      <c r="C15" s="8" t="n">
        <v>37.49</v>
      </c>
      <c r="D15" s="8" t="n">
        <v>7.99</v>
      </c>
      <c r="E15" s="8" t="n">
        <v>4.99</v>
      </c>
      <c r="F15" s="8" t="n">
        <v>2.98</v>
      </c>
      <c r="G15" s="8" t="n">
        <v>6.72</v>
      </c>
      <c r="H15" s="9">
        <f>F15+G15</f>
        <v/>
      </c>
      <c r="I15" s="10">
        <f>(C15+D15)-H15</f>
        <v/>
      </c>
      <c r="J15" s="7">
        <f>I15/(C15+D15)</f>
        <v/>
      </c>
    </row>
    <row r="16">
      <c r="A16" s="3" t="inlineStr">
        <is>
          <t>Case Only</t>
        </is>
      </c>
      <c r="B16" s="8" t="n">
        <v>62.48</v>
      </c>
      <c r="C16" s="8" t="n">
        <v>24.99</v>
      </c>
      <c r="D16" s="8" t="n">
        <v>7.99</v>
      </c>
      <c r="E16" s="8" t="n">
        <v>4.99</v>
      </c>
      <c r="F16" s="8" t="n">
        <v>2.3</v>
      </c>
      <c r="G16" s="8" t="n">
        <v>6.72</v>
      </c>
      <c r="H16" s="9">
        <f>F16+G16</f>
        <v/>
      </c>
      <c r="I16" s="10">
        <f>(C16+D16)-H16</f>
        <v/>
      </c>
      <c r="J16" s="7">
        <f>I16/(C16+D16)</f>
        <v/>
      </c>
    </row>
    <row r="17">
      <c r="A17" s="3" t="inlineStr">
        <is>
          <t>Grip Only</t>
        </is>
      </c>
      <c r="B17" s="8" t="n">
        <v>62.48</v>
      </c>
      <c r="C17" s="8" t="n">
        <v>24.99</v>
      </c>
      <c r="D17" s="8" t="n">
        <v>7.99</v>
      </c>
      <c r="E17" s="8" t="n">
        <v>4.99</v>
      </c>
      <c r="F17" s="8" t="n">
        <v>2.3</v>
      </c>
      <c r="G17" s="8" t="n">
        <v>6.72</v>
      </c>
      <c r="H17" s="9">
        <f>F17+G17</f>
        <v/>
      </c>
      <c r="I17" s="10">
        <f>(C17+D17)-H17</f>
        <v/>
      </c>
      <c r="J17" s="7">
        <f>I17/(C17+D17)</f>
        <v/>
      </c>
    </row>
    <row r="18">
      <c r="A18" s="3" t="inlineStr">
        <is>
          <t>Charm Only</t>
        </is>
      </c>
      <c r="B18" s="8" t="n">
        <v>32.48</v>
      </c>
      <c r="C18" s="8" t="n">
        <v>12.99</v>
      </c>
      <c r="D18" s="8" t="n">
        <v>7.99</v>
      </c>
      <c r="E18" s="8" t="n">
        <v>4.99</v>
      </c>
      <c r="F18" s="8" t="n">
        <v>0.67</v>
      </c>
      <c r="G18" s="8" t="n">
        <v>6.72</v>
      </c>
      <c r="H18" s="9">
        <f>F18+G18</f>
        <v/>
      </c>
      <c r="I18" s="10">
        <f>(C18+D18)-H18</f>
        <v/>
      </c>
      <c r="J18" s="7">
        <f>I18/(C18+D18)</f>
        <v/>
      </c>
    </row>
    <row r="21">
      <c r="A21" s="1" t="inlineStr">
        <is>
          <t>HKD PRICING TABLE</t>
        </is>
      </c>
    </row>
    <row r="22">
      <c r="A22" s="2" t="inlineStr">
        <is>
          <t>Product Variation</t>
        </is>
      </c>
      <c r="B22" s="2" t="inlineStr">
        <is>
          <t>Etsy Anchor Price</t>
        </is>
      </c>
      <c r="C22" s="2" t="inlineStr">
        <is>
          <t>True Customer Price</t>
        </is>
      </c>
      <c r="D22" s="2" t="inlineStr">
        <is>
          <t>Cust. Ship (1st)</t>
        </is>
      </c>
      <c r="E22" s="2" t="inlineStr">
        <is>
          <t>Cust. Ship (Add-on)</t>
        </is>
      </c>
      <c r="F22" s="2" t="inlineStr">
        <is>
          <t>Product Cost</t>
        </is>
      </c>
      <c r="G22" s="2" t="inlineStr">
        <is>
          <t>Shipping Cost</t>
        </is>
      </c>
      <c r="H22" s="2" t="inlineStr">
        <is>
          <t>Total Cost</t>
        </is>
      </c>
      <c r="I22" s="2" t="inlineStr">
        <is>
          <t>Net Profit (1 Item)</t>
        </is>
      </c>
      <c r="J22" s="2" t="inlineStr">
        <is>
          <t>Profit Margin</t>
        </is>
      </c>
    </row>
    <row r="23">
      <c r="A23" s="3" t="inlineStr">
        <is>
          <t>Case + Grip + Charm</t>
        </is>
      </c>
      <c r="B23" s="11" t="n">
        <v>636.03</v>
      </c>
      <c r="C23" s="11" t="n">
        <v>254.4</v>
      </c>
      <c r="D23" s="11" t="n">
        <v>46</v>
      </c>
      <c r="E23" s="11" t="n">
        <v>29</v>
      </c>
      <c r="F23" s="11" t="n">
        <v>30.21</v>
      </c>
      <c r="G23" s="11" t="n">
        <v>43.94</v>
      </c>
      <c r="H23" s="12">
        <f>F23+G23</f>
        <v/>
      </c>
      <c r="I23" s="13">
        <f>(C23+D23)-H23</f>
        <v/>
      </c>
      <c r="J23" s="7">
        <f>I23/(C23+D23)</f>
        <v/>
      </c>
    </row>
    <row r="24">
      <c r="A24" s="3" t="inlineStr">
        <is>
          <t>Case + Grip</t>
        </is>
      </c>
      <c r="B24" s="11" t="n">
        <v>538.16</v>
      </c>
      <c r="C24" s="11" t="n">
        <v>215.25</v>
      </c>
      <c r="D24" s="11" t="n">
        <v>46</v>
      </c>
      <c r="E24" s="11" t="n">
        <v>29</v>
      </c>
      <c r="F24" s="11" t="n">
        <v>26.37</v>
      </c>
      <c r="G24" s="11" t="n">
        <v>38.46</v>
      </c>
      <c r="H24" s="12">
        <f>F24+G24</f>
        <v/>
      </c>
      <c r="I24" s="13">
        <f>(C24+D24)-H24</f>
        <v/>
      </c>
      <c r="J24" s="7">
        <f>I24/(C24+D24)</f>
        <v/>
      </c>
    </row>
    <row r="25">
      <c r="A25" s="3" t="inlineStr">
        <is>
          <t>Case + Charm</t>
        </is>
      </c>
      <c r="B25" s="11" t="n">
        <v>538.16</v>
      </c>
      <c r="C25" s="11" t="n">
        <v>215.25</v>
      </c>
      <c r="D25" s="11" t="n">
        <v>46</v>
      </c>
      <c r="E25" s="11" t="n">
        <v>29</v>
      </c>
      <c r="F25" s="11" t="n">
        <v>17.02</v>
      </c>
      <c r="G25" s="11" t="n">
        <v>38.42</v>
      </c>
      <c r="H25" s="12">
        <f>F25+G25</f>
        <v/>
      </c>
      <c r="I25" s="13">
        <f>(C25+D25)-H25</f>
        <v/>
      </c>
      <c r="J25" s="7">
        <f>I25/(C25+D25)</f>
        <v/>
      </c>
    </row>
    <row r="26">
      <c r="A26" s="3" t="inlineStr">
        <is>
          <t>Case Only</t>
        </is>
      </c>
      <c r="B26" s="11" t="n">
        <v>361.98</v>
      </c>
      <c r="C26" s="11" t="n">
        <v>144.78</v>
      </c>
      <c r="D26" s="11" t="n">
        <v>46</v>
      </c>
      <c r="E26" s="11" t="n">
        <v>29</v>
      </c>
      <c r="F26" s="11" t="n">
        <v>13.17</v>
      </c>
      <c r="G26" s="11" t="n">
        <v>38.43</v>
      </c>
      <c r="H26" s="12">
        <f>F26+G26</f>
        <v/>
      </c>
      <c r="I26" s="13">
        <f>(C26+D26)-H26</f>
        <v/>
      </c>
      <c r="J26" s="7">
        <f>I26/(C26+D26)</f>
        <v/>
      </c>
    </row>
    <row r="27">
      <c r="A27" s="3" t="inlineStr">
        <is>
          <t>Grip Only</t>
        </is>
      </c>
      <c r="B27" s="11" t="n">
        <v>361.98</v>
      </c>
      <c r="C27" s="11" t="n">
        <v>144.78</v>
      </c>
      <c r="D27" s="11" t="n">
        <v>46</v>
      </c>
      <c r="E27" s="11" t="n">
        <v>29</v>
      </c>
      <c r="F27" s="11" t="n">
        <v>13.17</v>
      </c>
      <c r="G27" s="11" t="n">
        <v>38.43</v>
      </c>
      <c r="H27" s="12">
        <f>F27+G27</f>
        <v/>
      </c>
      <c r="I27" s="13">
        <f>(C27+D27)-H27</f>
        <v/>
      </c>
      <c r="J27" s="7">
        <f>I27/(C27+D27)</f>
        <v/>
      </c>
    </row>
    <row r="28">
      <c r="A28" s="3" t="inlineStr">
        <is>
          <t>Charm Only</t>
        </is>
      </c>
      <c r="B28" s="11" t="n">
        <v>185.81</v>
      </c>
      <c r="C28" s="11" t="n">
        <v>74.31</v>
      </c>
      <c r="D28" s="11" t="n">
        <v>46</v>
      </c>
      <c r="E28" s="11" t="n">
        <v>29</v>
      </c>
      <c r="F28" s="11" t="n">
        <v>3.84</v>
      </c>
      <c r="G28" s="11" t="n">
        <v>38.44</v>
      </c>
      <c r="H28" s="12">
        <f>F28+G28</f>
        <v/>
      </c>
      <c r="I28" s="13">
        <f>(C28+D28)-H28</f>
        <v/>
      </c>
      <c r="J28" s="7">
        <f>I28/(C28+D28)</f>
        <v/>
      </c>
    </row>
    <row r="31">
      <c r="A31" s="1" t="inlineStr">
        <is>
          <t>RMB PRICING TABLE</t>
        </is>
      </c>
    </row>
    <row r="32">
      <c r="A32" s="2" t="inlineStr">
        <is>
          <t>Product Variation</t>
        </is>
      </c>
      <c r="B32" s="2" t="inlineStr">
        <is>
          <t>Etsy Anchor Price</t>
        </is>
      </c>
      <c r="C32" s="2" t="inlineStr">
        <is>
          <t>True Customer Price</t>
        </is>
      </c>
      <c r="D32" s="2" t="inlineStr">
        <is>
          <t>Cust. Ship (1st)</t>
        </is>
      </c>
      <c r="E32" s="2" t="inlineStr">
        <is>
          <t>Cust. Ship (Add-on)</t>
        </is>
      </c>
      <c r="F32" s="2" t="inlineStr">
        <is>
          <t>Product Cost</t>
        </is>
      </c>
      <c r="G32" s="2" t="inlineStr">
        <is>
          <t>Shipping Cost</t>
        </is>
      </c>
      <c r="H32" s="2" t="inlineStr">
        <is>
          <t>Total Cost</t>
        </is>
      </c>
      <c r="I32" s="2" t="inlineStr">
        <is>
          <t>Net Profit (1 Item)</t>
        </is>
      </c>
      <c r="J32" s="2" t="inlineStr">
        <is>
          <t>Profit Margin</t>
        </is>
      </c>
    </row>
    <row r="33">
      <c r="A33" s="3" t="inlineStr">
        <is>
          <t>Case + Grip + Charm</t>
        </is>
      </c>
      <c r="B33" s="14" t="n">
        <v>579.17</v>
      </c>
      <c r="C33" s="14" t="n">
        <v>231.65</v>
      </c>
      <c r="D33" s="14" t="n">
        <v>41.85</v>
      </c>
      <c r="E33" s="14" t="n">
        <v>26.38</v>
      </c>
      <c r="F33" s="14" t="n">
        <v>27.5</v>
      </c>
      <c r="G33" s="14" t="n">
        <v>40</v>
      </c>
      <c r="H33" s="15">
        <f>F33+G33</f>
        <v/>
      </c>
      <c r="I33" s="16">
        <f>(C33+D33)-H33</f>
        <v/>
      </c>
      <c r="J33" s="7">
        <f>I33/(C33+D33)</f>
        <v/>
      </c>
    </row>
    <row r="34">
      <c r="A34" s="3" t="inlineStr">
        <is>
          <t>Case + Grip</t>
        </is>
      </c>
      <c r="B34" s="14" t="n">
        <v>490.04</v>
      </c>
      <c r="C34" s="14" t="n">
        <v>196</v>
      </c>
      <c r="D34" s="14" t="n">
        <v>41.85</v>
      </c>
      <c r="E34" s="14" t="n">
        <v>26.38</v>
      </c>
      <c r="F34" s="14" t="n">
        <v>24</v>
      </c>
      <c r="G34" s="14" t="n">
        <v>35</v>
      </c>
      <c r="H34" s="15">
        <f>F34+G34</f>
        <v/>
      </c>
      <c r="I34" s="16">
        <f>(C34+D34)-H34</f>
        <v/>
      </c>
      <c r="J34" s="7">
        <f>I34/(C34+D34)</f>
        <v/>
      </c>
    </row>
    <row r="35">
      <c r="A35" s="3" t="inlineStr">
        <is>
          <t>Case + Charm</t>
        </is>
      </c>
      <c r="B35" s="14" t="n">
        <v>490.04</v>
      </c>
      <c r="C35" s="14" t="n">
        <v>196</v>
      </c>
      <c r="D35" s="14" t="n">
        <v>41.85</v>
      </c>
      <c r="E35" s="14" t="n">
        <v>26.38</v>
      </c>
      <c r="F35" s="14" t="n">
        <v>15.5</v>
      </c>
      <c r="G35" s="14" t="n">
        <v>35</v>
      </c>
      <c r="H35" s="15">
        <f>F35+G35</f>
        <v/>
      </c>
      <c r="I35" s="16">
        <f>(C35+D35)-H35</f>
        <v/>
      </c>
      <c r="J35" s="7">
        <f>I35/(C35+D35)</f>
        <v/>
      </c>
    </row>
    <row r="36">
      <c r="A36" s="3" t="inlineStr">
        <is>
          <t>Case Only</t>
        </is>
      </c>
      <c r="B36" s="14" t="n">
        <v>329.62</v>
      </c>
      <c r="C36" s="14" t="n">
        <v>131.83</v>
      </c>
      <c r="D36" s="14" t="n">
        <v>41.85</v>
      </c>
      <c r="E36" s="14" t="n">
        <v>26.38</v>
      </c>
      <c r="F36" s="14" t="n">
        <v>12</v>
      </c>
      <c r="G36" s="14" t="n">
        <v>35</v>
      </c>
      <c r="H36" s="15">
        <f>F36+G36</f>
        <v/>
      </c>
      <c r="I36" s="16">
        <f>(C36+D36)-H36</f>
        <v/>
      </c>
      <c r="J36" s="7">
        <f>I36/(C36+D36)</f>
        <v/>
      </c>
    </row>
    <row r="37">
      <c r="A37" s="3" t="inlineStr">
        <is>
          <t>Grip Only</t>
        </is>
      </c>
      <c r="B37" s="14" t="n">
        <v>329.62</v>
      </c>
      <c r="C37" s="14" t="n">
        <v>131.83</v>
      </c>
      <c r="D37" s="14" t="n">
        <v>41.85</v>
      </c>
      <c r="E37" s="14" t="n">
        <v>26.38</v>
      </c>
      <c r="F37" s="14" t="n">
        <v>12</v>
      </c>
      <c r="G37" s="14" t="n">
        <v>35</v>
      </c>
      <c r="H37" s="15">
        <f>F37+G37</f>
        <v/>
      </c>
      <c r="I37" s="16">
        <f>(C37+D37)-H37</f>
        <v/>
      </c>
      <c r="J37" s="7">
        <f>I37/(C37+D37)</f>
        <v/>
      </c>
    </row>
    <row r="38">
      <c r="A38" s="3" t="inlineStr">
        <is>
          <t>Charm Only</t>
        </is>
      </c>
      <c r="B38" s="14" t="n">
        <v>169.2</v>
      </c>
      <c r="C38" s="14" t="n">
        <v>67.66</v>
      </c>
      <c r="D38" s="14" t="n">
        <v>41.85</v>
      </c>
      <c r="E38" s="14" t="n">
        <v>26.38</v>
      </c>
      <c r="F38" s="14" t="n">
        <v>3.5</v>
      </c>
      <c r="G38" s="14" t="n">
        <v>35</v>
      </c>
      <c r="H38" s="15">
        <f>F38+G38</f>
        <v/>
      </c>
      <c r="I38" s="16">
        <f>(C38+D38)-H38</f>
        <v/>
      </c>
      <c r="J38" s="7">
        <f>I38/(C38+D38)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2026-05-17T05:45:34Z</dcterms:created>
  <dcterms:modified xmlns:dcterms="http://purl.org/dc/terms/" xmlns:xsi="http://www.w3.org/2001/XMLSchema-instance" xsi:type="dcterms:W3CDTF">2026-05-17T05:45:34Z</dcterms:modified>
</cp:coreProperties>
</file>